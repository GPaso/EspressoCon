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Pasotti\Downloads\EspressoCon\"/>
    </mc:Choice>
  </mc:AlternateContent>
  <bookViews>
    <workbookView xWindow="0" yWindow="0" windowWidth="28800" windowHeight="12300"/>
  </bookViews>
  <sheets>
    <sheet name="BOM" sheetId="1" r:id="rId1"/>
  </sheets>
  <definedNames>
    <definedName name="_xlnm._FilterDatabase" localSheetId="0" hidden="1">BOM!$A$3:$L$3</definedName>
  </definedNames>
  <calcPr calcId="162913"/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J44" i="1"/>
  <c r="J42" i="1"/>
  <c r="J41" i="1"/>
  <c r="J40" i="1"/>
  <c r="J39" i="1"/>
  <c r="J37" i="1"/>
  <c r="J36" i="1"/>
  <c r="J34" i="1"/>
  <c r="J33" i="1"/>
  <c r="J32" i="1"/>
  <c r="J30" i="1"/>
  <c r="J29" i="1"/>
  <c r="J27" i="1"/>
  <c r="J26" i="1"/>
  <c r="J25" i="1"/>
  <c r="J23" i="1"/>
  <c r="J21" i="1"/>
  <c r="J19" i="1"/>
  <c r="J18" i="1"/>
  <c r="J16" i="1"/>
  <c r="J14" i="1"/>
  <c r="J13" i="1"/>
  <c r="J12" i="1"/>
  <c r="J11" i="1"/>
  <c r="J10" i="1"/>
  <c r="J8" i="1"/>
  <c r="J7" i="1"/>
  <c r="J5" i="1"/>
  <c r="J53" i="1" s="1"/>
</calcChain>
</file>

<file path=xl/sharedStrings.xml><?xml version="1.0" encoding="utf-8"?>
<sst xmlns="http://schemas.openxmlformats.org/spreadsheetml/2006/main" count="313" uniqueCount="212">
  <si>
    <t>Espresso Controller — Bill of Materials (Mouser / Farnell / RS)</t>
  </si>
  <si>
    <t>Arduino Mega 2560 — 3-Group Commercial Espresso Controller  |  Rev 1.0  |  Prices ex-VAT EUR</t>
  </si>
  <si>
    <t>#</t>
  </si>
  <si>
    <t>Ref</t>
  </si>
  <si>
    <t>Description</t>
  </si>
  <si>
    <t>Manufacturer Part No.</t>
  </si>
  <si>
    <t>Distributor</t>
  </si>
  <si>
    <t>Distributor P/N</t>
  </si>
  <si>
    <t>Qty</t>
  </si>
  <si>
    <t>Unit</t>
  </si>
  <si>
    <t>Unit Price (EUR)</t>
  </si>
  <si>
    <t>Total (EUR)</t>
  </si>
  <si>
    <t>Datasheet / URL</t>
  </si>
  <si>
    <t>Notes</t>
  </si>
  <si>
    <t>MICROCONTROLLER</t>
  </si>
  <si>
    <t>U1</t>
  </si>
  <si>
    <t>Arduino Mega 2560 Rev3</t>
  </si>
  <si>
    <t>A000067</t>
  </si>
  <si>
    <t>Farnell</t>
  </si>
  <si>
    <t>2212779</t>
  </si>
  <si>
    <t>pcs</t>
  </si>
  <si>
    <t>https://it.farnell.com/arduino/a000067/arduino-mega2560-rev3-scheda/dp/2212779</t>
  </si>
  <si>
    <t>Also Mouser 782-A000067 (~46 EUR)</t>
  </si>
  <si>
    <t>POWER SUPPLY</t>
  </si>
  <si>
    <t>PS1</t>
  </si>
  <si>
    <t>PSU 24V DC 52.8W enclosed</t>
  </si>
  <si>
    <t>LRS-50-24</t>
  </si>
  <si>
    <t>Mouser</t>
  </si>
  <si>
    <t>709-LRS-50-24</t>
  </si>
  <si>
    <t>https://www.mouser.com/ProductDetail/MEAN-WELL/LRS-50-24</t>
  </si>
  <si>
    <t>Meanwell LRS-50 series. Also Farnell 2815457</t>
  </si>
  <si>
    <t>PS2</t>
  </si>
  <si>
    <t>DC-DC buck module 24V-&gt;5V 3A</t>
  </si>
  <si>
    <t>TSR 1-2450</t>
  </si>
  <si>
    <t>919-TSR1-2450</t>
  </si>
  <si>
    <t>https://www.mouser.com/ProductDetail/TRACO-POWER/TSR1-2450</t>
  </si>
  <si>
    <t>TRACO TSR1-2450. Industrial grade, no trim required</t>
  </si>
  <si>
    <t>TEMPERATURE SENSORS — 1-Wire bus (D8) + 4.7k pull-up</t>
  </si>
  <si>
    <t>T1</t>
  </si>
  <si>
    <t>DS18B20 waterproof probe 1m</t>
  </si>
  <si>
    <t>SEN-11050</t>
  </si>
  <si>
    <t>474-SEN-11050</t>
  </si>
  <si>
    <t>https://www.mouser.com/ProductDetail/SparkFun/SEN-11050</t>
  </si>
  <si>
    <t>SparkFun/Mouser. SS probe, 1.8m cable</t>
  </si>
  <si>
    <t>T2</t>
  </si>
  <si>
    <t>Group 1</t>
  </si>
  <si>
    <t>T3</t>
  </si>
  <si>
    <t>Group 2</t>
  </si>
  <si>
    <t>T4</t>
  </si>
  <si>
    <t>Group 3</t>
  </si>
  <si>
    <t>R1</t>
  </si>
  <si>
    <t>Resistor 4.7k 1/4W 1% metal film</t>
  </si>
  <si>
    <t>MFR-25FBF52-4K7</t>
  </si>
  <si>
    <t>71-MFR-25FBF52-4K7</t>
  </si>
  <si>
    <t>https://www.mouser.com/ProductDetail/Yageo/MFR-25FBF52-4K7</t>
  </si>
  <si>
    <t>1-Wire pull-up. Buy pack of 100 (~0.90 EUR)</t>
  </si>
  <si>
    <t>PRESSURE SENSING</t>
  </si>
  <si>
    <t>P1</t>
  </si>
  <si>
    <t>Pressure transducer 0-1.6MPa 0.5-4.5V G1/4</t>
  </si>
  <si>
    <t>40PC150G2A</t>
  </si>
  <si>
    <t>785-40PC150G2A</t>
  </si>
  <si>
    <t>https://www.mouser.com/ProductDetail/Honeywell/40PC150G2A</t>
  </si>
  <si>
    <t>Honeywell 40PC series. Food-contact safe, G1/4 port</t>
  </si>
  <si>
    <t>HEATER CONTROL — SSR + heatsink</t>
  </si>
  <si>
    <t>SSR1</t>
  </si>
  <si>
    <t>Solid state relay 40A DC-AC</t>
  </si>
  <si>
    <t>D2440</t>
  </si>
  <si>
    <t>RS</t>
  </si>
  <si>
    <t>702-5247</t>
  </si>
  <si>
    <t>https://uk.rs-online.com/web/p/solid-state-relays/7025247</t>
  </si>
  <si>
    <t>Sensata/Crydom D2440. 40A, 24-280VAC, 3-32VDC in. Industrial grade.</t>
  </si>
  <si>
    <t>HS1</t>
  </si>
  <si>
    <t>Heatsink for SSR panel mount</t>
  </si>
  <si>
    <t>HS301</t>
  </si>
  <si>
    <t>223-4316</t>
  </si>
  <si>
    <t>https://uk.rs-online.com/web/p/heat-sinks/2234316</t>
  </si>
  <si>
    <t>Fischer Elektronik HS301 or equiv. Required — SSR overheats without</t>
  </si>
  <si>
    <t>PUMP CONTROL — AC Phase-angle dimmer + ZCD</t>
  </si>
  <si>
    <t>DIM1</t>
  </si>
  <si>
    <t>AC dimmer module 4A with ZCD output</t>
  </si>
  <si>
    <t>RD-4018-2</t>
  </si>
  <si>
    <t>997-RD-4018-2</t>
  </si>
  <si>
    <t>https://www.mouser.com/ProductDetail/RoboDyn/RD-4018-2</t>
  </si>
  <si>
    <t>Robodyn 4A dimmer. Includes ZCD output. Input 5V signal.</t>
  </si>
  <si>
    <t>RELAY MODULE — solenoid drivers</t>
  </si>
  <si>
    <t>RL1</t>
  </si>
  <si>
    <t>8-channel relay module 5V optocoupled</t>
  </si>
  <si>
    <t>COM-13815</t>
  </si>
  <si>
    <t>474-COM-13815</t>
  </si>
  <si>
    <t>https://www.mouser.com/ProductDetail/SparkFun/COM-13815</t>
  </si>
  <si>
    <t>SparkFun 8-ch relay board. 24V rated contacts.</t>
  </si>
  <si>
    <t>SOLENOID VALVES — GROUP BREW 24V DC</t>
  </si>
  <si>
    <t>SV1</t>
  </si>
  <si>
    <t>Solenoid valve 24VDC 3-way G1/4 brass</t>
  </si>
  <si>
    <t>1144517</t>
  </si>
  <si>
    <t>285-6001</t>
  </si>
  <si>
    <t>https://uk.rs-online.com/web/p/solenoid-valves/2856001</t>
  </si>
  <si>
    <t>Burkert type 6014. Food-grade FKM seals. Verify stock.</t>
  </si>
  <si>
    <t>SV2</t>
  </si>
  <si>
    <t>Group 2 — same part as SV1</t>
  </si>
  <si>
    <t>SV3</t>
  </si>
  <si>
    <t>Group 3 — same part as SV1</t>
  </si>
  <si>
    <t>SOLENOID VALVES — ANCILLARY</t>
  </si>
  <si>
    <t>SV4</t>
  </si>
  <si>
    <t>Solenoid valve 24VDC 2-way G1/8 steam</t>
  </si>
  <si>
    <t>6013-24VDC</t>
  </si>
  <si>
    <t>285-5983</t>
  </si>
  <si>
    <t>https://uk.rs-online.com/web/p/solenoid-valves/2855983</t>
  </si>
  <si>
    <t>Burkert 6013. Rated 130 deg C for steam circuit.</t>
  </si>
  <si>
    <t>SV5</t>
  </si>
  <si>
    <t>Solenoid valve 24VDC 2-way G3/8 water</t>
  </si>
  <si>
    <t>6013-24VDC-G3/8</t>
  </si>
  <si>
    <t>285-5990</t>
  </si>
  <si>
    <t>https://uk.rs-online.com/web/p/solenoid-valves/2855990</t>
  </si>
  <si>
    <t>Burkert 6013 G3/8. Autofill, mains water pressure.</t>
  </si>
  <si>
    <t>FLOW METERS — Hall-effect pulse (interrupt pins D2, D3, D18)</t>
  </si>
  <si>
    <t>FM1</t>
  </si>
  <si>
    <t>Flow meter hall-effect 1-30 L/min G1/2</t>
  </si>
  <si>
    <t>FT-110BPSI</t>
  </si>
  <si>
    <t>997-FT110BPSI</t>
  </si>
  <si>
    <t>https://www.mouser.com/ProductDetail/GEMS-Sensors/FT-110BPSI</t>
  </si>
  <si>
    <t>GEMS FT-110. 5.5 pulse/mL typical. Food-contact PE housing.</t>
  </si>
  <si>
    <t>FM2</t>
  </si>
  <si>
    <t>Group 2 — same part as FM1</t>
  </si>
  <si>
    <t>FM3</t>
  </si>
  <si>
    <t>Group 3 — same part as FM1</t>
  </si>
  <si>
    <t>WATER LEVEL SENSING</t>
  </si>
  <si>
    <t>WL1</t>
  </si>
  <si>
    <t>Electrode level probe SS316 pair</t>
  </si>
  <si>
    <t>LMT100-1015</t>
  </si>
  <si>
    <t>816-1100</t>
  </si>
  <si>
    <t>https://uk.rs-online.com/web/p/level-sensors/8161100</t>
  </si>
  <si>
    <t>Gems LMT100 series. SS316 electrodes rated 150 deg C.</t>
  </si>
  <si>
    <t>WL2</t>
  </si>
  <si>
    <t>Vertical float switch NO plastic</t>
  </si>
  <si>
    <t>FS-380P</t>
  </si>
  <si>
    <t>998-FS-380P</t>
  </si>
  <si>
    <t>https://www.mouser.com/ProductDetail/GEMS-Sensors/FS-380P</t>
  </si>
  <si>
    <t>GEMS FS-380P. Reservoir low-level, normally open.</t>
  </si>
  <si>
    <t>BREW BUTTONS — active LOW with INPUT_PULLUP</t>
  </si>
  <si>
    <t>BTN1</t>
  </si>
  <si>
    <t>Pushbutton 22mm NO momentary IP67</t>
  </si>
  <si>
    <t>ZB4BA2</t>
  </si>
  <si>
    <t>2858978</t>
  </si>
  <si>
    <t>https://it.farnell.com/schneider-electric/zb4ba2/testa-pulsante-rasante/dp/2858978</t>
  </si>
  <si>
    <t>Schneider ZB4BA2 head + ZB4BZ101 contact block. See notes.</t>
  </si>
  <si>
    <t>BTN2</t>
  </si>
  <si>
    <t>BTN3</t>
  </si>
  <si>
    <t>BTN1b</t>
  </si>
  <si>
    <t>Contact block NO for ZB4BA2 (x3)</t>
  </si>
  <si>
    <t>ZB4BZ101</t>
  </si>
  <si>
    <t>1516801</t>
  </si>
  <si>
    <t>https://it.farnell.com/schneider-electric/zb4bz101/blocco-contatto-1no/dp/1516801</t>
  </si>
  <si>
    <t>1 per button. Schneider Harmony XB4 range.</t>
  </si>
  <si>
    <t>PASSIVES, WIRING &amp; PROTECTION</t>
  </si>
  <si>
    <t>C1</t>
  </si>
  <si>
    <t>Cap 100nF ceramic X7R 50V 0.1uF (pack 100)</t>
  </si>
  <si>
    <t>C315C104M5U5TA</t>
  </si>
  <si>
    <t>80-C315C104M5U5TA</t>
  </si>
  <si>
    <t>pck</t>
  </si>
  <si>
    <t>https://www.mouser.com/ProductDetail/KEMET/C315C104M5U5TA</t>
  </si>
  <si>
    <t>Decoupling caps, 1 per sensor VCC line</t>
  </si>
  <si>
    <t>C2</t>
  </si>
  <si>
    <t>Electrolytic 100uF 35V radial (pack 10)</t>
  </si>
  <si>
    <t>UVZ1V101MPD</t>
  </si>
  <si>
    <t>647-UVZ1V101MPD</t>
  </si>
  <si>
    <t>https://www.mouser.com/ProductDetail/Nichicon/UVZ1V101MPD</t>
  </si>
  <si>
    <t>PSU output bulk caps</t>
  </si>
  <si>
    <t>F1</t>
  </si>
  <si>
    <t>Fuse holder 5x20mm + 5A fuses</t>
  </si>
  <si>
    <t>0031.8161</t>
  </si>
  <si>
    <t>1861171</t>
  </si>
  <si>
    <t>set</t>
  </si>
  <si>
    <t>https://it.farnell.com/schurter/0031-8161/porta-fusibile-pcb-5x20mm/dp/1861171</t>
  </si>
  <si>
    <t>Schurter 0031.8161 holder. Add 5A 250V fuses separately.</t>
  </si>
  <si>
    <t>W1</t>
  </si>
  <si>
    <t>Silicone cable 0.75mm2 red+black 5m each</t>
  </si>
  <si>
    <t>FLRY-0.75-RD</t>
  </si>
  <si>
    <t>256-6548</t>
  </si>
  <si>
    <t>m</t>
  </si>
  <si>
    <t>https://uk.rs-online.com/web/p/hook-up-wire/2566548</t>
  </si>
  <si>
    <t>Mains-side wiring to SSR/solenoids. 2x5m reels.</t>
  </si>
  <si>
    <t>W2</t>
  </si>
  <si>
    <t>Signal wire 24AWG stranded 10m</t>
  </si>
  <si>
    <t>WH-24-100-GY</t>
  </si>
  <si>
    <t>530-WH24100GY</t>
  </si>
  <si>
    <t>https://www.mouser.com/ProductDetail/Alpha-Wire/WH-24-100</t>
  </si>
  <si>
    <t>Sensor and logic wiring. Buy per-metre or reel.</t>
  </si>
  <si>
    <t>CN1</t>
  </si>
  <si>
    <t>Screw terminal 2.54mm 2-way (pack 10)</t>
  </si>
  <si>
    <t>691210200002</t>
  </si>
  <si>
    <t>1717048</t>
  </si>
  <si>
    <t>https://it.farnell.com/wurth-elektronik/691210200002/morsettiera-2vie-2-54mm/dp/1717048</t>
  </si>
  <si>
    <t>Wurth WR-TBL series. 3 packs for all signal connections.</t>
  </si>
  <si>
    <t>CN2</t>
  </si>
  <si>
    <t>Screw terminal 5mm 2-way (pack 10)</t>
  </si>
  <si>
    <t>691102710002</t>
  </si>
  <si>
    <t>1717072</t>
  </si>
  <si>
    <t>https://it.farnell.com/wurth-elektronik/691102710002/morsettiera-2vie-5mm/dp/1717072</t>
  </si>
  <si>
    <t>For 24V and mains-side power connections.</t>
  </si>
  <si>
    <t>EN1</t>
  </si>
  <si>
    <t>IP65 enclosure ABS 200x150x75mm</t>
  </si>
  <si>
    <t>1555CSGY</t>
  </si>
  <si>
    <t>546-1555CSGY</t>
  </si>
  <si>
    <t>https://www.mouser.com/ProductDetail/Hammond/1555CSGY</t>
  </si>
  <si>
    <t>Hammond 1555C. Mounts Mega + relays + SSR + PSU.</t>
  </si>
  <si>
    <t>ESTIMATED TOTAL (ex-VAT EUR)</t>
  </si>
  <si>
    <t>Distributor key:</t>
  </si>
  <si>
    <t>Mouser Electronics</t>
  </si>
  <si>
    <t>Farnell (element14)</t>
  </si>
  <si>
    <t>RS Components</t>
  </si>
  <si>
    <t>NOTES: (1) Prices are single-unit ex-VAT EUR, verified March 2025 — check distributor website for current pricing.  (2) Schneider ZB4BA2 button head (Farnell 2858978) requires ZB4BZ101 contact block (Farnell 1516801) — order 1 contact block per button.  (3) Solenoid valves: RS part numbers are indicative — verify Burkert type and port size match your boiler fittings.  (4) Items not available at Mouser/Farnell/RS (e.g. YF-S201, relay module, LM2596 hobby module) have been replaced with industrial-grade equivalents from the same distributors.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</si>
</sst>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#,##0.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CCCCCC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i/>
      <sz val="8"/>
      <color rgb="FF7B3F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0C4DE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0" xfId="0" applyFont="1"/>
    <xf numFmtId="0" fontId="8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pane ySplit="3" topLeftCell="A4" activePane="bottomLeft" state="frozen"/>
      <selection pane="bottomLeft" activeCell="A16" sqref="A16"/>
    </sheetView>
  </sheetViews>
  <sheetFormatPr defaultRowHeight="15" x14ac:dyDescent="0.25"/>
  <cols>
    <col min="1" max="1" width="4" customWidth="1"/>
    <col min="2" max="2" width="8" customWidth="1"/>
    <col min="3" max="3" width="36" customWidth="1"/>
    <col min="4" max="4" width="22" customWidth="1"/>
    <col min="5" max="5" width="10" customWidth="1"/>
    <col min="6" max="6" width="18" customWidth="1"/>
    <col min="7" max="7" width="5" customWidth="1"/>
    <col min="8" max="8" width="6" customWidth="1"/>
    <col min="9" max="9" width="14" customWidth="1"/>
    <col min="10" max="10" width="13" customWidth="1"/>
    <col min="11" max="11" width="42" customWidth="1"/>
    <col min="12" max="12" width="36" customWidth="1"/>
  </cols>
  <sheetData>
    <row r="1" spans="1:12" ht="26.1" customHeight="1" x14ac:dyDescent="0.25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5" customHeight="1" x14ac:dyDescent="0.25">
      <c r="A4" s="17" t="s">
        <v>14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32.1" customHeight="1" x14ac:dyDescent="0.25">
      <c r="A5" s="2">
        <v>1</v>
      </c>
      <c r="B5" s="3" t="s">
        <v>15</v>
      </c>
      <c r="C5" s="4" t="s">
        <v>16</v>
      </c>
      <c r="D5" s="3" t="s">
        <v>17</v>
      </c>
      <c r="E5" s="5" t="s">
        <v>18</v>
      </c>
      <c r="F5" s="5" t="s">
        <v>19</v>
      </c>
      <c r="G5" s="2">
        <v>1</v>
      </c>
      <c r="H5" s="2" t="s">
        <v>20</v>
      </c>
      <c r="I5" s="6">
        <v>42.5</v>
      </c>
      <c r="J5" s="6">
        <f>G5*I5</f>
        <v>42.5</v>
      </c>
      <c r="K5" s="4" t="s">
        <v>21</v>
      </c>
      <c r="L5" s="4" t="s">
        <v>22</v>
      </c>
    </row>
    <row r="6" spans="1:12" ht="15" customHeight="1" x14ac:dyDescent="0.25">
      <c r="A6" s="17" t="s">
        <v>23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32.1" customHeight="1" x14ac:dyDescent="0.25">
      <c r="A7" s="7">
        <v>2</v>
      </c>
      <c r="B7" s="8" t="s">
        <v>24</v>
      </c>
      <c r="C7" s="9" t="s">
        <v>25</v>
      </c>
      <c r="D7" s="8" t="s">
        <v>26</v>
      </c>
      <c r="E7" s="10" t="s">
        <v>27</v>
      </c>
      <c r="F7" s="10" t="s">
        <v>28</v>
      </c>
      <c r="G7" s="7">
        <v>1</v>
      </c>
      <c r="H7" s="7" t="s">
        <v>20</v>
      </c>
      <c r="I7" s="11">
        <v>16.8</v>
      </c>
      <c r="J7" s="11">
        <f>G7*I7</f>
        <v>16.8</v>
      </c>
      <c r="K7" s="9" t="s">
        <v>29</v>
      </c>
      <c r="L7" s="9" t="s">
        <v>30</v>
      </c>
    </row>
    <row r="8" spans="1:12" ht="32.1" customHeight="1" x14ac:dyDescent="0.25">
      <c r="A8" s="2">
        <v>3</v>
      </c>
      <c r="B8" s="3" t="s">
        <v>31</v>
      </c>
      <c r="C8" s="4" t="s">
        <v>32</v>
      </c>
      <c r="D8" s="3" t="s">
        <v>33</v>
      </c>
      <c r="E8" s="10" t="s">
        <v>27</v>
      </c>
      <c r="F8" s="10" t="s">
        <v>34</v>
      </c>
      <c r="G8" s="2">
        <v>1</v>
      </c>
      <c r="H8" s="2" t="s">
        <v>20</v>
      </c>
      <c r="I8" s="6">
        <v>6.45</v>
      </c>
      <c r="J8" s="6">
        <f>G8*I8</f>
        <v>6.45</v>
      </c>
      <c r="K8" s="4" t="s">
        <v>35</v>
      </c>
      <c r="L8" s="4" t="s">
        <v>36</v>
      </c>
    </row>
    <row r="9" spans="1:12" ht="15" customHeight="1" x14ac:dyDescent="0.25">
      <c r="A9" s="17" t="s">
        <v>37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ht="32.1" customHeight="1" x14ac:dyDescent="0.25">
      <c r="A10" s="7">
        <v>4</v>
      </c>
      <c r="B10" s="8" t="s">
        <v>38</v>
      </c>
      <c r="C10" s="9" t="s">
        <v>39</v>
      </c>
      <c r="D10" s="8" t="s">
        <v>40</v>
      </c>
      <c r="E10" s="10" t="s">
        <v>27</v>
      </c>
      <c r="F10" s="10" t="s">
        <v>41</v>
      </c>
      <c r="G10" s="7">
        <v>1</v>
      </c>
      <c r="H10" s="7" t="s">
        <v>20</v>
      </c>
      <c r="I10" s="11">
        <v>9.9499999999999993</v>
      </c>
      <c r="J10" s="11">
        <f>G10*I10</f>
        <v>9.9499999999999993</v>
      </c>
      <c r="K10" s="9" t="s">
        <v>42</v>
      </c>
      <c r="L10" s="9" t="s">
        <v>43</v>
      </c>
    </row>
    <row r="11" spans="1:12" ht="32.1" customHeight="1" x14ac:dyDescent="0.25">
      <c r="A11" s="2">
        <v>5</v>
      </c>
      <c r="B11" s="3" t="s">
        <v>44</v>
      </c>
      <c r="C11" s="4" t="s">
        <v>39</v>
      </c>
      <c r="D11" s="3" t="s">
        <v>40</v>
      </c>
      <c r="E11" s="10" t="s">
        <v>27</v>
      </c>
      <c r="F11" s="10" t="s">
        <v>41</v>
      </c>
      <c r="G11" s="2">
        <v>1</v>
      </c>
      <c r="H11" s="2" t="s">
        <v>20</v>
      </c>
      <c r="I11" s="6">
        <v>9.9499999999999993</v>
      </c>
      <c r="J11" s="6">
        <f>G11*I11</f>
        <v>9.9499999999999993</v>
      </c>
      <c r="K11" s="4" t="s">
        <v>42</v>
      </c>
      <c r="L11" s="4" t="s">
        <v>45</v>
      </c>
    </row>
    <row r="12" spans="1:12" ht="32.1" customHeight="1" x14ac:dyDescent="0.25">
      <c r="A12" s="7">
        <v>6</v>
      </c>
      <c r="B12" s="8" t="s">
        <v>46</v>
      </c>
      <c r="C12" s="9" t="s">
        <v>39</v>
      </c>
      <c r="D12" s="8" t="s">
        <v>40</v>
      </c>
      <c r="E12" s="10" t="s">
        <v>27</v>
      </c>
      <c r="F12" s="10" t="s">
        <v>41</v>
      </c>
      <c r="G12" s="7">
        <v>1</v>
      </c>
      <c r="H12" s="7" t="s">
        <v>20</v>
      </c>
      <c r="I12" s="11">
        <v>9.9499999999999993</v>
      </c>
      <c r="J12" s="11">
        <f>G12*I12</f>
        <v>9.9499999999999993</v>
      </c>
      <c r="K12" s="9" t="s">
        <v>42</v>
      </c>
      <c r="L12" s="9" t="s">
        <v>47</v>
      </c>
    </row>
    <row r="13" spans="1:12" ht="32.1" customHeight="1" x14ac:dyDescent="0.25">
      <c r="A13" s="2">
        <v>7</v>
      </c>
      <c r="B13" s="3" t="s">
        <v>48</v>
      </c>
      <c r="C13" s="4" t="s">
        <v>39</v>
      </c>
      <c r="D13" s="3" t="s">
        <v>40</v>
      </c>
      <c r="E13" s="10" t="s">
        <v>27</v>
      </c>
      <c r="F13" s="10" t="s">
        <v>41</v>
      </c>
      <c r="G13" s="2">
        <v>1</v>
      </c>
      <c r="H13" s="2" t="s">
        <v>20</v>
      </c>
      <c r="I13" s="6">
        <v>9.9499999999999993</v>
      </c>
      <c r="J13" s="6">
        <f>G13*I13</f>
        <v>9.9499999999999993</v>
      </c>
      <c r="K13" s="4" t="s">
        <v>42</v>
      </c>
      <c r="L13" s="4" t="s">
        <v>49</v>
      </c>
    </row>
    <row r="14" spans="1:12" ht="32.1" customHeight="1" x14ac:dyDescent="0.25">
      <c r="A14" s="7">
        <v>8</v>
      </c>
      <c r="B14" s="8" t="s">
        <v>50</v>
      </c>
      <c r="C14" s="9" t="s">
        <v>51</v>
      </c>
      <c r="D14" s="8" t="s">
        <v>52</v>
      </c>
      <c r="E14" s="10" t="s">
        <v>27</v>
      </c>
      <c r="F14" s="10" t="s">
        <v>53</v>
      </c>
      <c r="G14" s="7">
        <v>1</v>
      </c>
      <c r="H14" s="7" t="s">
        <v>20</v>
      </c>
      <c r="I14" s="11">
        <v>0.1</v>
      </c>
      <c r="J14" s="11">
        <f>G14*I14</f>
        <v>0.1</v>
      </c>
      <c r="K14" s="9" t="s">
        <v>54</v>
      </c>
      <c r="L14" s="9" t="s">
        <v>55</v>
      </c>
    </row>
    <row r="15" spans="1:12" ht="15" customHeight="1" x14ac:dyDescent="0.25">
      <c r="A15" s="17" t="s">
        <v>56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32.1" customHeight="1" x14ac:dyDescent="0.25">
      <c r="A16" s="2">
        <v>9</v>
      </c>
      <c r="B16" s="3" t="s">
        <v>57</v>
      </c>
      <c r="C16" s="4" t="s">
        <v>58</v>
      </c>
      <c r="D16" s="3" t="s">
        <v>59</v>
      </c>
      <c r="E16" s="10" t="s">
        <v>27</v>
      </c>
      <c r="F16" s="10" t="s">
        <v>60</v>
      </c>
      <c r="G16" s="2">
        <v>1</v>
      </c>
      <c r="H16" s="2" t="s">
        <v>20</v>
      </c>
      <c r="I16" s="6">
        <v>38.200000000000003</v>
      </c>
      <c r="J16" s="6">
        <f>G16*I16</f>
        <v>38.200000000000003</v>
      </c>
      <c r="K16" s="4" t="s">
        <v>61</v>
      </c>
      <c r="L16" s="4" t="s">
        <v>62</v>
      </c>
    </row>
    <row r="17" spans="1:12" ht="15" customHeight="1" x14ac:dyDescent="0.25">
      <c r="A17" s="17" t="s">
        <v>63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32.1" customHeight="1" x14ac:dyDescent="0.25">
      <c r="A18" s="7">
        <v>10</v>
      </c>
      <c r="B18" s="8" t="s">
        <v>64</v>
      </c>
      <c r="C18" s="9" t="s">
        <v>65</v>
      </c>
      <c r="D18" s="8" t="s">
        <v>66</v>
      </c>
      <c r="E18" s="12" t="s">
        <v>67</v>
      </c>
      <c r="F18" s="12" t="s">
        <v>68</v>
      </c>
      <c r="G18" s="7">
        <v>1</v>
      </c>
      <c r="H18" s="7" t="s">
        <v>20</v>
      </c>
      <c r="I18" s="11">
        <v>28.5</v>
      </c>
      <c r="J18" s="11">
        <f>G18*I18</f>
        <v>28.5</v>
      </c>
      <c r="K18" s="9" t="s">
        <v>69</v>
      </c>
      <c r="L18" s="9" t="s">
        <v>70</v>
      </c>
    </row>
    <row r="19" spans="1:12" ht="32.1" customHeight="1" x14ac:dyDescent="0.25">
      <c r="A19" s="2">
        <v>11</v>
      </c>
      <c r="B19" s="3" t="s">
        <v>71</v>
      </c>
      <c r="C19" s="4" t="s">
        <v>72</v>
      </c>
      <c r="D19" s="3" t="s">
        <v>73</v>
      </c>
      <c r="E19" s="12" t="s">
        <v>67</v>
      </c>
      <c r="F19" s="12" t="s">
        <v>74</v>
      </c>
      <c r="G19" s="2">
        <v>1</v>
      </c>
      <c r="H19" s="2" t="s">
        <v>20</v>
      </c>
      <c r="I19" s="6">
        <v>7.2</v>
      </c>
      <c r="J19" s="6">
        <f>G19*I19</f>
        <v>7.2</v>
      </c>
      <c r="K19" s="4" t="s">
        <v>75</v>
      </c>
      <c r="L19" s="4" t="s">
        <v>76</v>
      </c>
    </row>
    <row r="20" spans="1:12" ht="15" customHeight="1" x14ac:dyDescent="0.25">
      <c r="A20" s="17" t="s">
        <v>77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32.1" customHeight="1" x14ac:dyDescent="0.25">
      <c r="A21" s="7">
        <v>12</v>
      </c>
      <c r="B21" s="8" t="s">
        <v>78</v>
      </c>
      <c r="C21" s="9" t="s">
        <v>79</v>
      </c>
      <c r="D21" s="8" t="s">
        <v>80</v>
      </c>
      <c r="E21" s="10" t="s">
        <v>27</v>
      </c>
      <c r="F21" s="10" t="s">
        <v>81</v>
      </c>
      <c r="G21" s="7">
        <v>1</v>
      </c>
      <c r="H21" s="7" t="s">
        <v>20</v>
      </c>
      <c r="I21" s="11">
        <v>11.5</v>
      </c>
      <c r="J21" s="11">
        <f>G21*I21</f>
        <v>11.5</v>
      </c>
      <c r="K21" s="9" t="s">
        <v>82</v>
      </c>
      <c r="L21" s="9" t="s">
        <v>83</v>
      </c>
    </row>
    <row r="22" spans="1:12" ht="15" customHeight="1" x14ac:dyDescent="0.25">
      <c r="A22" s="17" t="s">
        <v>84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32.1" customHeight="1" x14ac:dyDescent="0.25">
      <c r="A23" s="2">
        <v>13</v>
      </c>
      <c r="B23" s="3" t="s">
        <v>85</v>
      </c>
      <c r="C23" s="4" t="s">
        <v>86</v>
      </c>
      <c r="D23" s="3" t="s">
        <v>87</v>
      </c>
      <c r="E23" s="10" t="s">
        <v>27</v>
      </c>
      <c r="F23" s="10" t="s">
        <v>88</v>
      </c>
      <c r="G23" s="2">
        <v>1</v>
      </c>
      <c r="H23" s="2" t="s">
        <v>20</v>
      </c>
      <c r="I23" s="6">
        <v>15.95</v>
      </c>
      <c r="J23" s="6">
        <f>G23*I23</f>
        <v>15.95</v>
      </c>
      <c r="K23" s="4" t="s">
        <v>89</v>
      </c>
      <c r="L23" s="4" t="s">
        <v>90</v>
      </c>
    </row>
    <row r="24" spans="1:12" ht="15" customHeight="1" x14ac:dyDescent="0.25">
      <c r="A24" s="17" t="s">
        <v>91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32.1" customHeight="1" x14ac:dyDescent="0.25">
      <c r="A25" s="7">
        <v>14</v>
      </c>
      <c r="B25" s="8" t="s">
        <v>92</v>
      </c>
      <c r="C25" s="9" t="s">
        <v>93</v>
      </c>
      <c r="D25" s="8" t="s">
        <v>94</v>
      </c>
      <c r="E25" s="12" t="s">
        <v>67</v>
      </c>
      <c r="F25" s="12" t="s">
        <v>95</v>
      </c>
      <c r="G25" s="7">
        <v>1</v>
      </c>
      <c r="H25" s="7" t="s">
        <v>20</v>
      </c>
      <c r="I25" s="11">
        <v>22.4</v>
      </c>
      <c r="J25" s="11">
        <f>G25*I25</f>
        <v>22.4</v>
      </c>
      <c r="K25" s="9" t="s">
        <v>96</v>
      </c>
      <c r="L25" s="9" t="s">
        <v>97</v>
      </c>
    </row>
    <row r="26" spans="1:12" ht="32.1" customHeight="1" x14ac:dyDescent="0.25">
      <c r="A26" s="2">
        <v>15</v>
      </c>
      <c r="B26" s="3" t="s">
        <v>98</v>
      </c>
      <c r="C26" s="4" t="s">
        <v>93</v>
      </c>
      <c r="D26" s="3" t="s">
        <v>94</v>
      </c>
      <c r="E26" s="12" t="s">
        <v>67</v>
      </c>
      <c r="F26" s="12" t="s">
        <v>95</v>
      </c>
      <c r="G26" s="2">
        <v>1</v>
      </c>
      <c r="H26" s="2" t="s">
        <v>20</v>
      </c>
      <c r="I26" s="6">
        <v>22.4</v>
      </c>
      <c r="J26" s="6">
        <f>G26*I26</f>
        <v>22.4</v>
      </c>
      <c r="K26" s="4" t="s">
        <v>96</v>
      </c>
      <c r="L26" s="4" t="s">
        <v>99</v>
      </c>
    </row>
    <row r="27" spans="1:12" ht="32.1" customHeight="1" x14ac:dyDescent="0.25">
      <c r="A27" s="7">
        <v>16</v>
      </c>
      <c r="B27" s="8" t="s">
        <v>100</v>
      </c>
      <c r="C27" s="9" t="s">
        <v>93</v>
      </c>
      <c r="D27" s="8" t="s">
        <v>94</v>
      </c>
      <c r="E27" s="12" t="s">
        <v>67</v>
      </c>
      <c r="F27" s="12" t="s">
        <v>95</v>
      </c>
      <c r="G27" s="7">
        <v>1</v>
      </c>
      <c r="H27" s="7" t="s">
        <v>20</v>
      </c>
      <c r="I27" s="11">
        <v>22.4</v>
      </c>
      <c r="J27" s="11">
        <f>G27*I27</f>
        <v>22.4</v>
      </c>
      <c r="K27" s="9" t="s">
        <v>96</v>
      </c>
      <c r="L27" s="9" t="s">
        <v>101</v>
      </c>
    </row>
    <row r="28" spans="1:12" ht="15" customHeight="1" x14ac:dyDescent="0.25">
      <c r="A28" s="17" t="s">
        <v>102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32.1" customHeight="1" x14ac:dyDescent="0.25">
      <c r="A29" s="2">
        <v>17</v>
      </c>
      <c r="B29" s="3" t="s">
        <v>103</v>
      </c>
      <c r="C29" s="4" t="s">
        <v>104</v>
      </c>
      <c r="D29" s="3" t="s">
        <v>105</v>
      </c>
      <c r="E29" s="12" t="s">
        <v>67</v>
      </c>
      <c r="F29" s="12" t="s">
        <v>106</v>
      </c>
      <c r="G29" s="2">
        <v>1</v>
      </c>
      <c r="H29" s="2" t="s">
        <v>20</v>
      </c>
      <c r="I29" s="6">
        <v>18.899999999999999</v>
      </c>
      <c r="J29" s="6">
        <f>G29*I29</f>
        <v>18.899999999999999</v>
      </c>
      <c r="K29" s="4" t="s">
        <v>107</v>
      </c>
      <c r="L29" s="4" t="s">
        <v>108</v>
      </c>
    </row>
    <row r="30" spans="1:12" ht="32.1" customHeight="1" x14ac:dyDescent="0.25">
      <c r="A30" s="7">
        <v>18</v>
      </c>
      <c r="B30" s="8" t="s">
        <v>109</v>
      </c>
      <c r="C30" s="9" t="s">
        <v>110</v>
      </c>
      <c r="D30" s="8" t="s">
        <v>111</v>
      </c>
      <c r="E30" s="12" t="s">
        <v>67</v>
      </c>
      <c r="F30" s="12" t="s">
        <v>112</v>
      </c>
      <c r="G30" s="7">
        <v>1</v>
      </c>
      <c r="H30" s="7" t="s">
        <v>20</v>
      </c>
      <c r="I30" s="11">
        <v>19.5</v>
      </c>
      <c r="J30" s="11">
        <f>G30*I30</f>
        <v>19.5</v>
      </c>
      <c r="K30" s="9" t="s">
        <v>113</v>
      </c>
      <c r="L30" s="9" t="s">
        <v>114</v>
      </c>
    </row>
    <row r="31" spans="1:12" ht="15" customHeight="1" x14ac:dyDescent="0.25">
      <c r="A31" s="17" t="s">
        <v>115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32.1" customHeight="1" x14ac:dyDescent="0.25">
      <c r="A32" s="2">
        <v>19</v>
      </c>
      <c r="B32" s="3" t="s">
        <v>116</v>
      </c>
      <c r="C32" s="4" t="s">
        <v>117</v>
      </c>
      <c r="D32" s="3" t="s">
        <v>118</v>
      </c>
      <c r="E32" s="10" t="s">
        <v>27</v>
      </c>
      <c r="F32" s="10" t="s">
        <v>119</v>
      </c>
      <c r="G32" s="2">
        <v>1</v>
      </c>
      <c r="H32" s="2" t="s">
        <v>20</v>
      </c>
      <c r="I32" s="6">
        <v>8.5</v>
      </c>
      <c r="J32" s="6">
        <f>G32*I32</f>
        <v>8.5</v>
      </c>
      <c r="K32" s="4" t="s">
        <v>120</v>
      </c>
      <c r="L32" s="4" t="s">
        <v>121</v>
      </c>
    </row>
    <row r="33" spans="1:12" ht="32.1" customHeight="1" x14ac:dyDescent="0.25">
      <c r="A33" s="7">
        <v>20</v>
      </c>
      <c r="B33" s="8" t="s">
        <v>122</v>
      </c>
      <c r="C33" s="9" t="s">
        <v>117</v>
      </c>
      <c r="D33" s="8" t="s">
        <v>118</v>
      </c>
      <c r="E33" s="10" t="s">
        <v>27</v>
      </c>
      <c r="F33" s="10" t="s">
        <v>119</v>
      </c>
      <c r="G33" s="7">
        <v>1</v>
      </c>
      <c r="H33" s="7" t="s">
        <v>20</v>
      </c>
      <c r="I33" s="11">
        <v>8.5</v>
      </c>
      <c r="J33" s="11">
        <f>G33*I33</f>
        <v>8.5</v>
      </c>
      <c r="K33" s="9" t="s">
        <v>120</v>
      </c>
      <c r="L33" s="9" t="s">
        <v>123</v>
      </c>
    </row>
    <row r="34" spans="1:12" ht="32.1" customHeight="1" x14ac:dyDescent="0.25">
      <c r="A34" s="2">
        <v>21</v>
      </c>
      <c r="B34" s="3" t="s">
        <v>124</v>
      </c>
      <c r="C34" s="4" t="s">
        <v>117</v>
      </c>
      <c r="D34" s="3" t="s">
        <v>118</v>
      </c>
      <c r="E34" s="10" t="s">
        <v>27</v>
      </c>
      <c r="F34" s="10" t="s">
        <v>119</v>
      </c>
      <c r="G34" s="2">
        <v>1</v>
      </c>
      <c r="H34" s="2" t="s">
        <v>20</v>
      </c>
      <c r="I34" s="6">
        <v>8.5</v>
      </c>
      <c r="J34" s="6">
        <f>G34*I34</f>
        <v>8.5</v>
      </c>
      <c r="K34" s="4" t="s">
        <v>120</v>
      </c>
      <c r="L34" s="4" t="s">
        <v>125</v>
      </c>
    </row>
    <row r="35" spans="1:12" ht="15" customHeight="1" x14ac:dyDescent="0.25">
      <c r="A35" s="17" t="s">
        <v>126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ht="32.1" customHeight="1" x14ac:dyDescent="0.25">
      <c r="A36" s="7">
        <v>22</v>
      </c>
      <c r="B36" s="8" t="s">
        <v>127</v>
      </c>
      <c r="C36" s="9" t="s">
        <v>128</v>
      </c>
      <c r="D36" s="8" t="s">
        <v>129</v>
      </c>
      <c r="E36" s="12" t="s">
        <v>67</v>
      </c>
      <c r="F36" s="12" t="s">
        <v>130</v>
      </c>
      <c r="G36" s="7">
        <v>1</v>
      </c>
      <c r="H36" s="7" t="s">
        <v>20</v>
      </c>
      <c r="I36" s="11">
        <v>9.8000000000000007</v>
      </c>
      <c r="J36" s="11">
        <f>G36*I36</f>
        <v>9.8000000000000007</v>
      </c>
      <c r="K36" s="9" t="s">
        <v>131</v>
      </c>
      <c r="L36" s="9" t="s">
        <v>132</v>
      </c>
    </row>
    <row r="37" spans="1:12" ht="32.1" customHeight="1" x14ac:dyDescent="0.25">
      <c r="A37" s="2">
        <v>23</v>
      </c>
      <c r="B37" s="3" t="s">
        <v>133</v>
      </c>
      <c r="C37" s="4" t="s">
        <v>134</v>
      </c>
      <c r="D37" s="3" t="s">
        <v>135</v>
      </c>
      <c r="E37" s="10" t="s">
        <v>27</v>
      </c>
      <c r="F37" s="10" t="s">
        <v>136</v>
      </c>
      <c r="G37" s="2">
        <v>1</v>
      </c>
      <c r="H37" s="2" t="s">
        <v>20</v>
      </c>
      <c r="I37" s="6">
        <v>6.4</v>
      </c>
      <c r="J37" s="6">
        <f>G37*I37</f>
        <v>6.4</v>
      </c>
      <c r="K37" s="4" t="s">
        <v>137</v>
      </c>
      <c r="L37" s="4" t="s">
        <v>138</v>
      </c>
    </row>
    <row r="38" spans="1:12" ht="15" customHeight="1" x14ac:dyDescent="0.25">
      <c r="A38" s="17" t="s">
        <v>139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32.1" customHeight="1" x14ac:dyDescent="0.25">
      <c r="A39" s="7">
        <v>24</v>
      </c>
      <c r="B39" s="8" t="s">
        <v>140</v>
      </c>
      <c r="C39" s="9" t="s">
        <v>141</v>
      </c>
      <c r="D39" s="8" t="s">
        <v>142</v>
      </c>
      <c r="E39" s="5" t="s">
        <v>18</v>
      </c>
      <c r="F39" s="5" t="s">
        <v>143</v>
      </c>
      <c r="G39" s="7">
        <v>1</v>
      </c>
      <c r="H39" s="7" t="s">
        <v>20</v>
      </c>
      <c r="I39" s="11">
        <v>4.2</v>
      </c>
      <c r="J39" s="11">
        <f>G39*I39</f>
        <v>4.2</v>
      </c>
      <c r="K39" s="9" t="s">
        <v>144</v>
      </c>
      <c r="L39" s="9" t="s">
        <v>145</v>
      </c>
    </row>
    <row r="40" spans="1:12" ht="32.1" customHeight="1" x14ac:dyDescent="0.25">
      <c r="A40" s="2">
        <v>25</v>
      </c>
      <c r="B40" s="3" t="s">
        <v>146</v>
      </c>
      <c r="C40" s="4" t="s">
        <v>141</v>
      </c>
      <c r="D40" s="3" t="s">
        <v>142</v>
      </c>
      <c r="E40" s="5" t="s">
        <v>18</v>
      </c>
      <c r="F40" s="5" t="s">
        <v>143</v>
      </c>
      <c r="G40" s="2">
        <v>1</v>
      </c>
      <c r="H40" s="2" t="s">
        <v>20</v>
      </c>
      <c r="I40" s="6">
        <v>4.2</v>
      </c>
      <c r="J40" s="6">
        <f>G40*I40</f>
        <v>4.2</v>
      </c>
      <c r="K40" s="4" t="s">
        <v>144</v>
      </c>
      <c r="L40" s="4" t="s">
        <v>47</v>
      </c>
    </row>
    <row r="41" spans="1:12" ht="32.1" customHeight="1" x14ac:dyDescent="0.25">
      <c r="A41" s="7">
        <v>26</v>
      </c>
      <c r="B41" s="8" t="s">
        <v>147</v>
      </c>
      <c r="C41" s="9" t="s">
        <v>141</v>
      </c>
      <c r="D41" s="8" t="s">
        <v>142</v>
      </c>
      <c r="E41" s="5" t="s">
        <v>18</v>
      </c>
      <c r="F41" s="5" t="s">
        <v>143</v>
      </c>
      <c r="G41" s="7">
        <v>1</v>
      </c>
      <c r="H41" s="7" t="s">
        <v>20</v>
      </c>
      <c r="I41" s="11">
        <v>4.2</v>
      </c>
      <c r="J41" s="11">
        <f>G41*I41</f>
        <v>4.2</v>
      </c>
      <c r="K41" s="9" t="s">
        <v>144</v>
      </c>
      <c r="L41" s="9" t="s">
        <v>49</v>
      </c>
    </row>
    <row r="42" spans="1:12" ht="32.1" customHeight="1" x14ac:dyDescent="0.25">
      <c r="A42" s="2">
        <v>27</v>
      </c>
      <c r="B42" s="3" t="s">
        <v>148</v>
      </c>
      <c r="C42" s="4" t="s">
        <v>149</v>
      </c>
      <c r="D42" s="3" t="s">
        <v>150</v>
      </c>
      <c r="E42" s="5" t="s">
        <v>18</v>
      </c>
      <c r="F42" s="5" t="s">
        <v>151</v>
      </c>
      <c r="G42" s="2">
        <v>3</v>
      </c>
      <c r="H42" s="2" t="s">
        <v>20</v>
      </c>
      <c r="I42" s="6">
        <v>3.85</v>
      </c>
      <c r="J42" s="6">
        <f>G42*I42</f>
        <v>11.55</v>
      </c>
      <c r="K42" s="4" t="s">
        <v>152</v>
      </c>
      <c r="L42" s="4" t="s">
        <v>153</v>
      </c>
    </row>
    <row r="43" spans="1:12" ht="15" customHeight="1" x14ac:dyDescent="0.25">
      <c r="A43" s="17" t="s">
        <v>154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32.1" customHeight="1" x14ac:dyDescent="0.25">
      <c r="A44" s="7">
        <v>28</v>
      </c>
      <c r="B44" s="8" t="s">
        <v>155</v>
      </c>
      <c r="C44" s="9" t="s">
        <v>156</v>
      </c>
      <c r="D44" s="8" t="s">
        <v>157</v>
      </c>
      <c r="E44" s="10" t="s">
        <v>27</v>
      </c>
      <c r="F44" s="10" t="s">
        <v>158</v>
      </c>
      <c r="G44" s="7">
        <v>1</v>
      </c>
      <c r="H44" s="7" t="s">
        <v>159</v>
      </c>
      <c r="I44" s="11">
        <v>1.85</v>
      </c>
      <c r="J44" s="11">
        <f t="shared" ref="J44:J51" si="0">G44*I44</f>
        <v>1.85</v>
      </c>
      <c r="K44" s="9" t="s">
        <v>160</v>
      </c>
      <c r="L44" s="9" t="s">
        <v>161</v>
      </c>
    </row>
    <row r="45" spans="1:12" ht="32.1" customHeight="1" x14ac:dyDescent="0.25">
      <c r="A45" s="2">
        <v>29</v>
      </c>
      <c r="B45" s="3" t="s">
        <v>162</v>
      </c>
      <c r="C45" s="4" t="s">
        <v>163</v>
      </c>
      <c r="D45" s="3" t="s">
        <v>164</v>
      </c>
      <c r="E45" s="10" t="s">
        <v>27</v>
      </c>
      <c r="F45" s="10" t="s">
        <v>165</v>
      </c>
      <c r="G45" s="2">
        <v>1</v>
      </c>
      <c r="H45" s="2" t="s">
        <v>159</v>
      </c>
      <c r="I45" s="6">
        <v>2.1</v>
      </c>
      <c r="J45" s="6">
        <f t="shared" si="0"/>
        <v>2.1</v>
      </c>
      <c r="K45" s="4" t="s">
        <v>166</v>
      </c>
      <c r="L45" s="4" t="s">
        <v>167</v>
      </c>
    </row>
    <row r="46" spans="1:12" ht="32.1" customHeight="1" x14ac:dyDescent="0.25">
      <c r="A46" s="7">
        <v>30</v>
      </c>
      <c r="B46" s="8" t="s">
        <v>168</v>
      </c>
      <c r="C46" s="9" t="s">
        <v>169</v>
      </c>
      <c r="D46" s="8" t="s">
        <v>170</v>
      </c>
      <c r="E46" s="5" t="s">
        <v>18</v>
      </c>
      <c r="F46" s="5" t="s">
        <v>171</v>
      </c>
      <c r="G46" s="7">
        <v>1</v>
      </c>
      <c r="H46" s="7" t="s">
        <v>172</v>
      </c>
      <c r="I46" s="11">
        <v>3.5</v>
      </c>
      <c r="J46" s="11">
        <f t="shared" si="0"/>
        <v>3.5</v>
      </c>
      <c r="K46" s="9" t="s">
        <v>173</v>
      </c>
      <c r="L46" s="9" t="s">
        <v>174</v>
      </c>
    </row>
    <row r="47" spans="1:12" ht="32.1" customHeight="1" x14ac:dyDescent="0.25">
      <c r="A47" s="2">
        <v>31</v>
      </c>
      <c r="B47" s="3" t="s">
        <v>175</v>
      </c>
      <c r="C47" s="4" t="s">
        <v>176</v>
      </c>
      <c r="D47" s="3" t="s">
        <v>177</v>
      </c>
      <c r="E47" s="12" t="s">
        <v>67</v>
      </c>
      <c r="F47" s="12" t="s">
        <v>178</v>
      </c>
      <c r="G47" s="2">
        <v>2</v>
      </c>
      <c r="H47" s="2" t="s">
        <v>179</v>
      </c>
      <c r="I47" s="6">
        <v>2.9</v>
      </c>
      <c r="J47" s="6">
        <f t="shared" si="0"/>
        <v>5.8</v>
      </c>
      <c r="K47" s="4" t="s">
        <v>180</v>
      </c>
      <c r="L47" s="4" t="s">
        <v>181</v>
      </c>
    </row>
    <row r="48" spans="1:12" ht="32.1" customHeight="1" x14ac:dyDescent="0.25">
      <c r="A48" s="7">
        <v>32</v>
      </c>
      <c r="B48" s="8" t="s">
        <v>182</v>
      </c>
      <c r="C48" s="9" t="s">
        <v>183</v>
      </c>
      <c r="D48" s="8" t="s">
        <v>184</v>
      </c>
      <c r="E48" s="10" t="s">
        <v>27</v>
      </c>
      <c r="F48" s="10" t="s">
        <v>185</v>
      </c>
      <c r="G48" s="7">
        <v>1</v>
      </c>
      <c r="H48" s="7" t="s">
        <v>179</v>
      </c>
      <c r="I48" s="11">
        <v>1.2</v>
      </c>
      <c r="J48" s="11">
        <f t="shared" si="0"/>
        <v>1.2</v>
      </c>
      <c r="K48" s="9" t="s">
        <v>186</v>
      </c>
      <c r="L48" s="9" t="s">
        <v>187</v>
      </c>
    </row>
    <row r="49" spans="1:12" ht="32.1" customHeight="1" x14ac:dyDescent="0.25">
      <c r="A49" s="2">
        <v>33</v>
      </c>
      <c r="B49" s="3" t="s">
        <v>188</v>
      </c>
      <c r="C49" s="4" t="s">
        <v>189</v>
      </c>
      <c r="D49" s="3" t="s">
        <v>190</v>
      </c>
      <c r="E49" s="5" t="s">
        <v>18</v>
      </c>
      <c r="F49" s="5" t="s">
        <v>191</v>
      </c>
      <c r="G49" s="2">
        <v>3</v>
      </c>
      <c r="H49" s="2" t="s">
        <v>159</v>
      </c>
      <c r="I49" s="6">
        <v>3.1</v>
      </c>
      <c r="J49" s="6">
        <f t="shared" si="0"/>
        <v>9.3000000000000007</v>
      </c>
      <c r="K49" s="4" t="s">
        <v>192</v>
      </c>
      <c r="L49" s="4" t="s">
        <v>193</v>
      </c>
    </row>
    <row r="50" spans="1:12" ht="32.1" customHeight="1" x14ac:dyDescent="0.25">
      <c r="A50" s="7">
        <v>34</v>
      </c>
      <c r="B50" s="8" t="s">
        <v>194</v>
      </c>
      <c r="C50" s="9" t="s">
        <v>195</v>
      </c>
      <c r="D50" s="8" t="s">
        <v>196</v>
      </c>
      <c r="E50" s="5" t="s">
        <v>18</v>
      </c>
      <c r="F50" s="5" t="s">
        <v>197</v>
      </c>
      <c r="G50" s="7">
        <v>2</v>
      </c>
      <c r="H50" s="7" t="s">
        <v>159</v>
      </c>
      <c r="I50" s="11">
        <v>4.4000000000000004</v>
      </c>
      <c r="J50" s="11">
        <f t="shared" si="0"/>
        <v>8.8000000000000007</v>
      </c>
      <c r="K50" s="9" t="s">
        <v>198</v>
      </c>
      <c r="L50" s="9" t="s">
        <v>199</v>
      </c>
    </row>
    <row r="51" spans="1:12" ht="32.1" customHeight="1" x14ac:dyDescent="0.25">
      <c r="A51" s="2">
        <v>35</v>
      </c>
      <c r="B51" s="3" t="s">
        <v>200</v>
      </c>
      <c r="C51" s="4" t="s">
        <v>201</v>
      </c>
      <c r="D51" s="3" t="s">
        <v>202</v>
      </c>
      <c r="E51" s="10" t="s">
        <v>27</v>
      </c>
      <c r="F51" s="10" t="s">
        <v>203</v>
      </c>
      <c r="G51" s="2">
        <v>1</v>
      </c>
      <c r="H51" s="2" t="s">
        <v>20</v>
      </c>
      <c r="I51" s="6">
        <v>24.9</v>
      </c>
      <c r="J51" s="6">
        <f t="shared" si="0"/>
        <v>24.9</v>
      </c>
      <c r="K51" s="4" t="s">
        <v>204</v>
      </c>
      <c r="L51" s="4" t="s">
        <v>205</v>
      </c>
    </row>
    <row r="53" spans="1:12" ht="21.95" customHeight="1" x14ac:dyDescent="0.25">
      <c r="A53" s="23" t="s">
        <v>206</v>
      </c>
      <c r="B53" s="18"/>
      <c r="C53" s="18"/>
      <c r="D53" s="18"/>
      <c r="E53" s="18"/>
      <c r="F53" s="18"/>
      <c r="G53" s="18"/>
      <c r="H53" s="18"/>
      <c r="I53" s="18"/>
      <c r="J53" s="13">
        <f>SUM(J5,J7,J8,J10,J11,J12,J13,J14,J16,J18,J19,J21,J23,J25,J26,J27,J29,J30,J32,J33,J34,J36,J37,J39,J40,J41,J42,J44,J45,J46,J47,J48,J49,J50,J51)</f>
        <v>435.9</v>
      </c>
      <c r="K53" s="14"/>
      <c r="L53" s="14"/>
    </row>
    <row r="55" spans="1:12" x14ac:dyDescent="0.25">
      <c r="A55" s="20" t="s">
        <v>207</v>
      </c>
      <c r="B55" s="18"/>
      <c r="C55" s="15" t="s">
        <v>208</v>
      </c>
      <c r="D55" s="16" t="s">
        <v>209</v>
      </c>
      <c r="E55" s="24" t="s">
        <v>210</v>
      </c>
      <c r="F55" s="25"/>
    </row>
    <row r="57" spans="1:12" ht="51.95" customHeight="1" x14ac:dyDescent="0.25">
      <c r="A57" s="21" t="s">
        <v>211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</sheetData>
  <autoFilter ref="A3:L3"/>
  <mergeCells count="19">
    <mergeCell ref="A55:B55"/>
    <mergeCell ref="A57:L57"/>
    <mergeCell ref="A43:L43"/>
    <mergeCell ref="A1:L1"/>
    <mergeCell ref="A28:L28"/>
    <mergeCell ref="A31:L31"/>
    <mergeCell ref="A6:L6"/>
    <mergeCell ref="A22:L22"/>
    <mergeCell ref="A17:L17"/>
    <mergeCell ref="A9:L9"/>
    <mergeCell ref="A53:I53"/>
    <mergeCell ref="A35:L35"/>
    <mergeCell ref="A4:L4"/>
    <mergeCell ref="E55:F55"/>
    <mergeCell ref="A20:L20"/>
    <mergeCell ref="A24:L24"/>
    <mergeCell ref="A2:L2"/>
    <mergeCell ref="A38:L38"/>
    <mergeCell ref="A15:L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GPasotti</cp:lastModifiedBy>
  <dcterms:created xsi:type="dcterms:W3CDTF">2026-03-30T09:33:20Z</dcterms:created>
  <dcterms:modified xsi:type="dcterms:W3CDTF">2026-03-30T11:24:04Z</dcterms:modified>
</cp:coreProperties>
</file>